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문제" sheetId="2" state="visible" r:id="rId2"/>
    <sheet xmlns:r="http://schemas.openxmlformats.org/officeDocument/2006/relationships" name="최종확인" sheetId="3" state="visible" r:id="rId3"/>
    <sheet xmlns:r="http://schemas.openxmlformats.org/officeDocument/2006/relationships" name="정답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FF1F4E79"/>
      <sz val="18"/>
    </font>
    <font>
      <name val="맑은 고딕"/>
      <color rgb="FF808080"/>
      <sz val="10"/>
    </font>
    <font>
      <name val="맑은 고딕"/>
      <sz val="11"/>
    </font>
    <font>
      <name val="맑은 고딕"/>
      <b val="1"/>
      <sz val="14"/>
    </font>
    <font>
      <name val="맑은 고딕"/>
      <b val="1"/>
      <sz val="11"/>
    </font>
    <font>
      <name val="맑은 고딕"/>
      <b val="1"/>
      <color rgb="FFFFFFFF"/>
      <sz val="9"/>
    </font>
    <font>
      <name val="맑은 고딕"/>
      <b val="1"/>
      <color rgb="FF1F4E79"/>
      <sz val="16"/>
    </font>
    <font>
      <name val="맑은 고딕"/>
      <b val="1"/>
      <sz val="12"/>
    </font>
  </fonts>
  <fills count="6">
    <fill>
      <patternFill/>
    </fill>
    <fill>
      <patternFill patternType="gray125"/>
    </fill>
    <fill>
      <patternFill patternType="solid">
        <fgColor rgb="FFFFF9E6"/>
      </patternFill>
    </fill>
    <fill>
      <patternFill patternType="solid">
        <fgColor rgb="FF1F4E79"/>
      </patternFill>
    </fill>
    <fill>
      <patternFill patternType="solid">
        <fgColor rgb="FFFFE699"/>
      </patternFill>
    </fill>
    <fill>
      <patternFill patternType="solid">
        <fgColor rgb="FFF8CBA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3" fillId="0" borderId="1" applyAlignment="1" pivotButton="0" quotePrefix="0" xfId="0">
      <alignment horizontal="left" vertical="center"/>
    </xf>
    <xf numFmtId="1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0" fontId="8" fillId="0" borderId="0" pivotButton="0" quotePrefix="0" xfId="0"/>
    <xf numFmtId="1" fontId="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1">
      <c r="B1" s="1" t="inlineStr">
        <is>
          <t>7장 종합문제 — 한결상사 거래처 정산표</t>
        </is>
      </c>
    </row>
    <row r="2">
      <c r="B2" s="2" t="inlineStr">
        <is>
          <t>보이지 않는 공백, 글자로 된 날짜, 왼쪽에 있는 단가 — 셋을 차례로 풉니다.</t>
        </is>
      </c>
    </row>
    <row r="4" ht="470" customHeight="1">
      <c r="B4" s="3" t="inlineStr">
        <is>
          <t>■ 상황
  한결상사 거래처 정산표입니다. 앞으로 갈수록 **하나씩 막힙니다.**
  · 거래처명 앞에 **보이지 않는 공백**이 붙어 있습니다
  · 거래일이 **글자**(YYMMDD)로 들어 있습니다
  · 단가표는 **찾을 열이 오른쪽**에 있습니다
■ 여덟 단계 — 순서대로
  ① 글자 수 세기   LEN 으로 거래처명이 몇 글자인지 봅니다        (7-07)
  ② 공백 떼기      TRIM 으로 정리한 열을 따로 만듭니다            (7-07)
  ③ 날짜 살리기    DATE + LEFT/MID/RIGHT 로 진짜 날짜로          (7-11)
  ④ 단가 가져오기  INDEX + MATCH (VLOOKUP 은 왼쪽을 못 봅니다)    (7-20)
  ⑤ 금액          수량 × 단가                                  (7-01)
  ⑥ 거래처별 합계  SUMIFS 로 — 반드시 TRIM 한 열을 봅니다         (7-05)
  ⑦ 경과 개월      DATEDIF 로 기준일까지 몇 개월인지              (7-12)
  ⑧ 최종확인 채우기 [최종확인] 다섯 칸                            —
■ 순서를 지켜야 하는 이유
  · ②를 건너뛰면 ⑥의 SUMIFS 가 **공백 붙은 거래처를 못 찾습니다.**
    합계가 조용히 작아집니다.
  · ③을 건너뛰면 ⑦의 DATEDIF 가 **#VALUE!** 를 냅니다.
  · **IFERROR 는 맨 마지막에** 씌우세요. 먼저 씌우면
    안 찾아진 줄이 **빈칸으로 보여** 문제를 못 찾습니다.
■ 채점
  노란 칸 = 채울 곳 · 주황 칸 = 답을 적는 곳 · 흰 칸은 자료입니다.</t>
        </is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</sheetData>
  <mergeCells count="1">
    <mergeCell ref="B4:B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O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1" customWidth="1" min="3" max="3"/>
    <col width="11" customWidth="1" min="4" max="4"/>
    <col width="8" customWidth="1" min="5" max="5"/>
    <col width="11" customWidth="1" min="6" max="6"/>
    <col width="13" customWidth="1" min="7" max="7"/>
    <col width="14" customWidth="1" min="8" max="8"/>
    <col width="13" customWidth="1" min="9" max="9"/>
    <col width="3" customWidth="1" min="10" max="10"/>
    <col width="11" customWidth="1" min="11" max="11"/>
    <col width="10" customWidth="1" min="12" max="12"/>
    <col width="3" customWidth="1" min="13" max="13"/>
    <col width="14" customWidth="1" min="14" max="14"/>
    <col width="14" customWidth="1" min="15" max="15"/>
  </cols>
  <sheetData>
    <row r="1">
      <c r="B1" s="4" t="inlineStr">
        <is>
          <t>한결상사 거래처 정산표</t>
        </is>
      </c>
    </row>
    <row r="3">
      <c r="B3" s="2" t="inlineStr">
        <is>
          <t>노란 칸을 채우세요. [안내] 의 여덟 단계를 순서대로.</t>
        </is>
      </c>
      <c r="E3" s="5" t="inlineStr">
        <is>
          <t>기준일</t>
        </is>
      </c>
      <c r="F3" s="6" t="inlineStr">
        <is>
          <t>2026-09-16</t>
        </is>
      </c>
    </row>
    <row r="5">
      <c r="B5" s="7" t="inlineStr">
        <is>
          <t>거래처명</t>
        </is>
      </c>
      <c r="C5" s="7" t="inlineStr">
        <is>
          <t>날짜코드</t>
        </is>
      </c>
      <c r="D5" s="7" t="inlineStr">
        <is>
          <t>제품코드</t>
        </is>
      </c>
      <c r="E5" s="7" t="inlineStr">
        <is>
          <t>수량</t>
        </is>
      </c>
      <c r="F5" s="7" t="inlineStr">
        <is>
          <t>단가</t>
        </is>
      </c>
      <c r="G5" s="7" t="inlineStr">
        <is>
          <t>금액</t>
        </is>
      </c>
      <c r="H5" s="7" t="inlineStr">
        <is>
          <t>TRIM</t>
        </is>
      </c>
      <c r="I5" s="7" t="inlineStr">
        <is>
          <t>진짜 날짜</t>
        </is>
      </c>
      <c r="K5" s="7" t="inlineStr">
        <is>
          <t>제품코드</t>
        </is>
      </c>
      <c r="L5" s="7" t="inlineStr">
        <is>
          <t>단가</t>
        </is>
      </c>
      <c r="N5" s="7" t="inlineStr">
        <is>
          <t>거래처</t>
        </is>
      </c>
      <c r="O5" s="7" t="inlineStr">
        <is>
          <t>합계</t>
        </is>
      </c>
    </row>
    <row r="6">
      <c r="B6" s="8" t="inlineStr">
        <is>
          <t xml:space="preserve">　　　한결상사</t>
        </is>
      </c>
      <c r="C6" s="6" t="inlineStr">
        <is>
          <t>260115</t>
        </is>
      </c>
      <c r="D6" s="6" t="inlineStr">
        <is>
          <t>FQ-003</t>
        </is>
      </c>
      <c r="E6" s="6" t="n">
        <v>40</v>
      </c>
      <c r="F6" s="9" t="n"/>
      <c r="G6" s="9" t="n"/>
      <c r="H6" s="10" t="n"/>
      <c r="I6" s="11" t="n"/>
      <c r="K6" s="6" t="inlineStr">
        <is>
          <t>FQ-003</t>
        </is>
      </c>
      <c r="L6" s="12" t="n">
        <v>8500</v>
      </c>
      <c r="N6" s="6" t="inlineStr">
        <is>
          <t>대성물산</t>
        </is>
      </c>
      <c r="O6" s="9" t="n"/>
    </row>
    <row r="7">
      <c r="B7" s="8" t="inlineStr">
        <is>
          <t>미래산업</t>
        </is>
      </c>
      <c r="C7" s="6" t="inlineStr">
        <is>
          <t>260228</t>
        </is>
      </c>
      <c r="D7" s="6" t="inlineStr">
        <is>
          <t>JD-005</t>
        </is>
      </c>
      <c r="E7" s="6" t="n">
        <v>25</v>
      </c>
      <c r="F7" s="9" t="n"/>
      <c r="G7" s="9" t="n"/>
      <c r="H7" s="10" t="n"/>
      <c r="I7" s="11" t="n"/>
      <c r="K7" s="6" t="inlineStr">
        <is>
          <t>JD-005</t>
        </is>
      </c>
      <c r="L7" s="12" t="n">
        <v>12400</v>
      </c>
      <c r="N7" s="6" t="inlineStr">
        <is>
          <t>미래산업</t>
        </is>
      </c>
      <c r="O7" s="9" t="n"/>
    </row>
    <row r="8">
      <c r="B8" s="8" t="inlineStr">
        <is>
          <t xml:space="preserve">　　　대성물산</t>
        </is>
      </c>
      <c r="C8" s="6" t="inlineStr">
        <is>
          <t>260310</t>
        </is>
      </c>
      <c r="D8" s="6" t="inlineStr">
        <is>
          <t>KM-011</t>
        </is>
      </c>
      <c r="E8" s="6" t="n">
        <v>60</v>
      </c>
      <c r="F8" s="9" t="n"/>
      <c r="G8" s="9" t="n"/>
      <c r="H8" s="10" t="n"/>
      <c r="I8" s="11" t="n"/>
      <c r="K8" s="6" t="inlineStr">
        <is>
          <t>KM-011</t>
        </is>
      </c>
      <c r="L8" s="12" t="n">
        <v>6300</v>
      </c>
      <c r="N8" s="6" t="inlineStr">
        <is>
          <t>신영테크</t>
        </is>
      </c>
      <c r="O8" s="9" t="n"/>
    </row>
    <row r="9">
      <c r="B9" s="8" t="inlineStr">
        <is>
          <t>신영테크</t>
        </is>
      </c>
      <c r="C9" s="6" t="inlineStr">
        <is>
          <t>260402</t>
        </is>
      </c>
      <c r="D9" s="6" t="inlineStr">
        <is>
          <t>PL-027</t>
        </is>
      </c>
      <c r="E9" s="6" t="n">
        <v>15</v>
      </c>
      <c r="F9" s="9" t="n"/>
      <c r="G9" s="9" t="n"/>
      <c r="H9" s="10" t="n"/>
      <c r="I9" s="11" t="n"/>
      <c r="K9" s="6" t="inlineStr">
        <is>
          <t>PL-027</t>
        </is>
      </c>
      <c r="L9" s="12" t="n">
        <v>21000</v>
      </c>
      <c r="N9" s="6" t="inlineStr">
        <is>
          <t>한결상사</t>
        </is>
      </c>
      <c r="O9" s="9" t="n"/>
    </row>
    <row r="10">
      <c r="B10" s="8" t="inlineStr">
        <is>
          <t xml:space="preserve">　　　한결상사</t>
        </is>
      </c>
      <c r="C10" s="6" t="inlineStr">
        <is>
          <t>260519</t>
        </is>
      </c>
      <c r="D10" s="6" t="inlineStr">
        <is>
          <t>SY-040</t>
        </is>
      </c>
      <c r="E10" s="6" t="n">
        <v>80</v>
      </c>
      <c r="F10" s="9" t="n"/>
      <c r="G10" s="9" t="n"/>
      <c r="H10" s="10" t="n"/>
      <c r="I10" s="11" t="n"/>
      <c r="K10" s="6" t="inlineStr">
        <is>
          <t>SY-040</t>
        </is>
      </c>
      <c r="L10" s="12" t="n">
        <v>4800</v>
      </c>
    </row>
    <row r="11">
      <c r="B11" s="8" t="inlineStr">
        <is>
          <t>미래산업</t>
        </is>
      </c>
      <c r="C11" s="6" t="inlineStr">
        <is>
          <t>260620</t>
        </is>
      </c>
      <c r="D11" s="6" t="inlineStr">
        <is>
          <t>FQ-003</t>
        </is>
      </c>
      <c r="E11" s="6" t="n">
        <v>35</v>
      </c>
      <c r="F11" s="9" t="n"/>
      <c r="G11" s="9" t="n"/>
      <c r="H11" s="10" t="n"/>
      <c r="I11" s="11" t="n"/>
    </row>
    <row r="12">
      <c r="B12" s="8" t="inlineStr">
        <is>
          <t xml:space="preserve">　　　대성물산</t>
        </is>
      </c>
      <c r="C12" s="6" t="inlineStr">
        <is>
          <t>260711</t>
        </is>
      </c>
      <c r="D12" s="6" t="inlineStr">
        <is>
          <t>JD-005</t>
        </is>
      </c>
      <c r="E12" s="6" t="n">
        <v>20</v>
      </c>
      <c r="F12" s="9" t="n"/>
      <c r="G12" s="9" t="n"/>
      <c r="H12" s="10" t="n"/>
      <c r="I12" s="11" t="n"/>
    </row>
    <row r="13">
      <c r="B13" s="8" t="inlineStr">
        <is>
          <t>신영테크</t>
        </is>
      </c>
      <c r="C13" s="6" t="inlineStr">
        <is>
          <t>260805</t>
        </is>
      </c>
      <c r="D13" s="6" t="inlineStr">
        <is>
          <t>KM-011</t>
        </is>
      </c>
      <c r="E13" s="6" t="n">
        <v>50</v>
      </c>
      <c r="F13" s="9" t="n"/>
      <c r="G13" s="9" t="n"/>
      <c r="H13" s="10" t="n"/>
      <c r="I13" s="1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C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</cols>
  <sheetData>
    <row r="1">
      <c r="B1" s="13" t="inlineStr">
        <is>
          <t>최종확인</t>
        </is>
      </c>
    </row>
    <row r="2">
      <c r="B2" s="2" t="inlineStr">
        <is>
          <t>주황 칸에 답을 적으세요. 다섯 칸이 맞으면 앞 단계는 다 맞은 것입니다.</t>
        </is>
      </c>
    </row>
    <row r="4">
      <c r="B4" s="7" t="inlineStr">
        <is>
          <t>묻는 것</t>
        </is>
      </c>
      <c r="C4" s="7" t="inlineStr">
        <is>
          <t>내 답</t>
        </is>
      </c>
    </row>
    <row r="5">
      <c r="B5" s="14" t="inlineStr">
        <is>
          <t>① 공백이 안 붙은 거래처 줄은 몇 줄?</t>
        </is>
      </c>
      <c r="C5" s="15" t="n"/>
    </row>
    <row r="6">
      <c r="B6" s="14" t="inlineStr">
        <is>
          <t>② 금액 합계는?</t>
        </is>
      </c>
      <c r="C6" s="16" t="n"/>
    </row>
    <row r="7">
      <c r="B7" s="14" t="inlineStr">
        <is>
          <t>③ 가장 많이 산 거래처는?</t>
        </is>
      </c>
      <c r="C7" s="17" t="n"/>
    </row>
    <row r="8">
      <c r="B8" s="14" t="inlineStr">
        <is>
          <t>④ 기준일까지 6개월 이상 지난 건은?</t>
        </is>
      </c>
      <c r="C8" s="15" t="n"/>
    </row>
    <row r="9">
      <c r="B9" s="14" t="inlineStr">
        <is>
          <t>⑤ 공백이 붙은 거래처명의 LEN 값은?</t>
        </is>
      </c>
      <c r="C9" s="15" t="n"/>
    </row>
    <row r="11">
      <c r="B11" s="2" t="inlineStr">
        <is>
          <t>다 적었으면 [정답] 시트를 여세요.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E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18" customWidth="1" min="3" max="3"/>
    <col width="9" customWidth="1" min="4" max="4"/>
    <col width="76" customWidth="1" min="5" max="5"/>
  </cols>
  <sheetData>
    <row r="1">
      <c r="B1" s="13" t="inlineStr">
        <is>
          <t>정답</t>
        </is>
      </c>
    </row>
    <row r="2">
      <c r="B2" s="2" t="inlineStr">
        <is>
          <t>먼저 다 풀고 나서 보세요.</t>
        </is>
      </c>
    </row>
    <row r="4">
      <c r="B4" s="7" t="inlineStr">
        <is>
          <t>단계</t>
        </is>
      </c>
      <c r="C4" s="7" t="inlineStr">
        <is>
          <t>무엇</t>
        </is>
      </c>
      <c r="D4" s="7" t="inlineStr">
        <is>
          <t>강의</t>
        </is>
      </c>
      <c r="E4" s="7" t="inlineStr">
        <is>
          <t>어떻게</t>
        </is>
      </c>
    </row>
    <row r="5" ht="32" customHeight="1">
      <c r="B5" s="6" t="inlineStr">
        <is>
          <t>①</t>
        </is>
      </c>
      <c r="C5" s="14" t="inlineStr">
        <is>
          <t>글자 수</t>
        </is>
      </c>
      <c r="D5" s="6" t="inlineStr">
        <is>
          <t>7-07</t>
        </is>
      </c>
      <c r="E5" s="18">
        <f>LEN(B6). 「한결상사」는 4여야 하는데 7 이 나옵니다. 앞에 공백이 셋 붙어 있습니다.</f>
        <v/>
      </c>
    </row>
    <row r="6" ht="32" customHeight="1">
      <c r="B6" s="6" t="inlineStr">
        <is>
          <t>②</t>
        </is>
      </c>
      <c r="C6" s="14" t="inlineStr">
        <is>
          <t>공백 떼기</t>
        </is>
      </c>
      <c r="D6" s="6" t="inlineStr">
        <is>
          <t>7-07</t>
        </is>
      </c>
      <c r="E6" s="18">
        <f>TRIM(B6). 웹에서 온 자료라면 =TRIM(SUBSTITUTE(B6,CHAR(160)," ")) 가 안전합니다.</f>
        <v/>
      </c>
    </row>
    <row r="7" ht="32" customHeight="1">
      <c r="B7" s="6" t="inlineStr">
        <is>
          <t>③</t>
        </is>
      </c>
      <c r="C7" s="14" t="inlineStr">
        <is>
          <t>날짜</t>
        </is>
      </c>
      <c r="D7" s="6" t="inlineStr">
        <is>
          <t>7-11</t>
        </is>
      </c>
      <c r="E7" s="18">
        <f>DATE(LEFT(C6,2)+2000,MID(C6,3,2),RIGHT(C6,2)). +2000 을 빼먹으면 서기 26년이 됩니다.</f>
        <v/>
      </c>
    </row>
    <row r="8" ht="32" customHeight="1">
      <c r="B8" s="6" t="inlineStr">
        <is>
          <t>④</t>
        </is>
      </c>
      <c r="C8" s="14" t="inlineStr">
        <is>
          <t>단가</t>
        </is>
      </c>
      <c r="D8" s="6" t="inlineStr">
        <is>
          <t>7-20</t>
        </is>
      </c>
      <c r="E8" s="18">
        <f>INDEX($L$6:$L$10,MATCH(D6,$K$6:$K$10,0)). 찾을 열이 오른쪽이라 VLOOKUP 은 안 됩니다.</f>
        <v/>
      </c>
    </row>
    <row r="9" ht="32" customHeight="1">
      <c r="B9" s="6" t="inlineStr">
        <is>
          <t>⑤</t>
        </is>
      </c>
      <c r="C9" s="14" t="inlineStr">
        <is>
          <t>금액</t>
        </is>
      </c>
      <c r="D9" s="6" t="inlineStr">
        <is>
          <t>7-01</t>
        </is>
      </c>
      <c r="E9" s="18">
        <f>E6*F6.</f>
        <v/>
      </c>
    </row>
    <row r="10" ht="32" customHeight="1">
      <c r="B10" s="6" t="inlineStr">
        <is>
          <t>⑥</t>
        </is>
      </c>
      <c r="C10" s="14" t="inlineStr">
        <is>
          <t>거래처별 합계</t>
        </is>
      </c>
      <c r="D10" s="6" t="inlineStr">
        <is>
          <t>7-05</t>
        </is>
      </c>
      <c r="E10" s="18">
        <f>SUMIFS($G$6:$G$13,$H$6:$H$13,J6) — 원본 B열이 아니라 TRIM 한 H열을 봐야 합니다.</f>
        <v/>
      </c>
    </row>
    <row r="11" ht="32" customHeight="1">
      <c r="B11" s="6" t="inlineStr">
        <is>
          <t>⑦</t>
        </is>
      </c>
      <c r="C11" s="14" t="inlineStr">
        <is>
          <t>경과 개월</t>
        </is>
      </c>
      <c r="D11" s="6" t="inlineStr">
        <is>
          <t>7-12</t>
        </is>
      </c>
      <c r="E11" s="18">
        <f>DATEDIF(I6,$F$3,"M"). 자동 완성에 안 뜨니 손으로 전부 치세요.</f>
        <v/>
      </c>
    </row>
    <row r="12" ht="32" customHeight="1">
      <c r="B12" s="6" t="inlineStr">
        <is>
          <t>⑧</t>
        </is>
      </c>
      <c r="C12" s="14" t="inlineStr">
        <is>
          <t>최종확인</t>
        </is>
      </c>
      <c r="D12" s="6" t="inlineStr">
        <is>
          <t>—</t>
        </is>
      </c>
      <c r="E12" s="18" t="inlineStr">
        <is>
          <t>[최종확인] 주황 칸 다섯 개를 채웁니다.</t>
        </is>
      </c>
    </row>
    <row r="14">
      <c r="B14" s="19" t="inlineStr">
        <is>
          <t>최종확인 답</t>
        </is>
      </c>
    </row>
    <row r="15">
      <c r="B15" s="7" t="inlineStr">
        <is>
          <t>번호</t>
        </is>
      </c>
      <c r="C15" s="7" t="inlineStr">
        <is>
          <t>답</t>
        </is>
      </c>
      <c r="D15" s="7" t="inlineStr"/>
      <c r="E15" s="7" t="inlineStr">
        <is>
          <t>틀렸다면</t>
        </is>
      </c>
    </row>
    <row r="16" ht="30" customHeight="1">
      <c r="B16" s="6" t="inlineStr">
        <is>
          <t>1</t>
        </is>
      </c>
      <c r="C16" s="20" t="n">
        <v>4</v>
      </c>
      <c r="D16" s="6" t="n"/>
      <c r="E16" s="18" t="inlineStr">
        <is>
          <t>②를 하기 전에 SUMIFS 를 걸면 이 4줄만 잡힙니다. 나머지 4줄이 조용히 빠집니다.</t>
        </is>
      </c>
    </row>
    <row r="17" ht="30" customHeight="1">
      <c r="B17" s="6" t="inlineStr">
        <is>
          <t>2</t>
        </is>
      </c>
      <c r="C17" s="21" t="n">
        <v>2587500</v>
      </c>
      <c r="D17" s="6" t="n"/>
      <c r="E17" s="18" t="inlineStr">
        <is>
          <t>④·⑤를 다 해야 나옵니다. 단가를 못 찾은 줄이 있으면 작아집니다.</t>
        </is>
      </c>
    </row>
    <row r="18" ht="30" customHeight="1">
      <c r="B18" s="6" t="inlineStr">
        <is>
          <t>3</t>
        </is>
      </c>
      <c r="C18" s="5" t="inlineStr">
        <is>
          <t>한결상사</t>
        </is>
      </c>
      <c r="D18" s="6" t="n"/>
      <c r="E18" s="18" t="inlineStr">
        <is>
          <t>⑥의 SUMIFS 결과를 견주면 됩니다. TRIM 을 안 하면 답이 달라집니다.</t>
        </is>
      </c>
    </row>
    <row r="19" ht="30" customHeight="1">
      <c r="B19" s="6" t="inlineStr">
        <is>
          <t>4</t>
        </is>
      </c>
      <c r="C19" s="20" t="n">
        <v>3</v>
      </c>
      <c r="D19" s="6" t="n"/>
      <c r="E19" s="18" t="inlineStr">
        <is>
          <t>③·⑦을 다 해야 셉니다. 기준일은 F3 에 적혀 있습니다.</t>
        </is>
      </c>
    </row>
    <row r="20" ht="30" customHeight="1">
      <c r="B20" s="6" t="inlineStr">
        <is>
          <t>5</t>
        </is>
      </c>
      <c r="C20" s="20" t="n">
        <v>7</v>
      </c>
      <c r="D20" s="6" t="n"/>
      <c r="E20" s="18" t="inlineStr">
        <is>
          <t>「한결상사」 4글자 + 앞 공백 3개 = 7. 눈으로는 절대 안 보입니다.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2026-09-16T07:24:19Z</dcterms:created>
  <dcterms:modified xmlns:dcterms="http://purl.org/dc/terms/" xmlns:xsi="http://www.w3.org/2001/XMLSchema-instance" xsi:type="dcterms:W3CDTF">2026-09-16T07:24:19Z</dcterms:modified>
</cp:coreProperties>
</file>