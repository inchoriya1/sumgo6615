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12" yWindow="720" windowWidth="19068" windowHeight="10764" tabRatio="600" firstSheet="0" activeTab="0" autoFilterDateGrouping="1"/>
  </bookViews>
  <sheets>
    <sheet name="천만리자전거" sheetId="1" state="visible" r:id="rId1"/>
    <sheet name="정답-블록쌓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color theme="1"/>
      <sz val="11"/>
    </font>
    <font>
      <b val="1"/>
      <sz val="13"/>
    </font>
    <font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1F4E79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double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double">
        <color auto="1"/>
      </left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/>
    </xf>
    <xf numFmtId="3" fontId="0" fillId="0" borderId="12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3" fontId="0" fillId="0" borderId="13" applyAlignment="1" pivotButton="0" quotePrefix="0" xfId="0">
      <alignment vertical="center"/>
    </xf>
    <xf numFmtId="3" fontId="0" fillId="0" borderId="17" applyAlignment="1" pivotButton="0" quotePrefix="0" xfId="0">
      <alignment vertical="center"/>
    </xf>
    <xf numFmtId="3" fontId="0" fillId="0" borderId="7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0" fontId="0" fillId="0" borderId="1" applyAlignment="1" pivotButton="0" quotePrefix="0" xfId="0">
      <alignment horizontal="right" vertical="center"/>
    </xf>
    <xf numFmtId="10" fontId="0" fillId="0" borderId="20" applyAlignment="1" pivotButton="0" quotePrefix="0" xfId="0">
      <alignment horizontal="right" vertical="center"/>
    </xf>
    <xf numFmtId="10" fontId="0" fillId="0" borderId="19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3" fillId="0" borderId="1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19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9" pivotButton="0" quotePrefix="0" xfId="0"/>
    <xf numFmtId="0" fontId="3" fillId="0" borderId="21" applyAlignment="1" pivotButton="0" quotePrefix="0" xfId="0">
      <alignment horizontal="center" vertical="center"/>
    </xf>
    <xf numFmtId="0" fontId="0" fillId="0" borderId="15" pivotButton="0" quotePrefix="0" xfId="0"/>
    <xf numFmtId="0" fontId="3" fillId="0" borderId="2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1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0" fontId="6" fillId="3" borderId="25" applyAlignment="1" pivotButton="0" quotePrefix="0" xfId="0">
      <alignment horizontal="center" vertical="center"/>
    </xf>
    <xf numFmtId="0" fontId="0" fillId="0" borderId="25" pivotButton="0" quotePrefix="0" xfId="0"/>
    <xf numFmtId="10" fontId="0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3" fontId="0" fillId="0" borderId="25" pivotButton="0" quotePrefix="0" xfId="0"/>
    <xf numFmtId="0" fontId="7" fillId="0" borderId="0" pivotButton="0" quotePrefix="0" xfId="0"/>
    <xf numFmtId="3" fontId="7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5"/>
  <sheetViews>
    <sheetView tabSelected="1" zoomScale="115" zoomScaleNormal="115" workbookViewId="0">
      <selection activeCell="A1" sqref="A1"/>
    </sheetView>
  </sheetViews>
  <sheetFormatPr baseColWidth="8" defaultRowHeight="17.4"/>
  <cols>
    <col width="4.59765625" customWidth="1" style="35" min="1" max="1"/>
    <col width="10.69921875" customWidth="1" style="35" min="2" max="2"/>
    <col width="12.19921875" customWidth="1" style="35" min="3" max="3"/>
    <col width="12.09765625" customWidth="1" style="35" min="4" max="9"/>
    <col width="13" customWidth="1" style="35" min="10" max="10"/>
  </cols>
  <sheetData>
    <row r="1" ht="18" customHeight="1" s="35" thickBot="1"/>
    <row r="2" ht="30" customHeight="1" s="35" thickBot="1">
      <c r="B2" s="24" t="inlineStr">
        <is>
          <t>천만리 자전거 영업점별 상반기 매출 현황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</row>
    <row r="3" ht="19.8" customHeight="1" s="35" thickBot="1">
      <c r="B3" s="13" t="n"/>
      <c r="C3" s="14" t="n"/>
      <c r="D3" s="14" t="n"/>
      <c r="E3" s="14" t="n"/>
      <c r="F3" s="14" t="n"/>
      <c r="G3" s="14" t="n"/>
      <c r="H3" s="14" t="n"/>
      <c r="I3" s="14" t="n"/>
      <c r="J3" s="14" t="n"/>
    </row>
    <row r="4" ht="21.6" customHeight="1" s="35" thickBot="1">
      <c r="B4" s="34" t="inlineStr">
        <is>
          <t>커미션</t>
        </is>
      </c>
      <c r="C4" s="37" t="n"/>
      <c r="D4" s="15" t="n">
        <v>0.03</v>
      </c>
      <c r="E4" s="15" t="n">
        <v>0.035</v>
      </c>
      <c r="F4" s="16" t="n">
        <v>0.0325</v>
      </c>
      <c r="G4" s="15" t="n">
        <v>0.04</v>
      </c>
      <c r="H4" s="15" t="n">
        <v>0.034</v>
      </c>
      <c r="I4" s="17" t="n">
        <v>0.0415</v>
      </c>
      <c r="J4" s="18">
        <f>AVERAGE(D4:I4)</f>
        <v/>
      </c>
    </row>
    <row r="5">
      <c r="B5" s="38" t="inlineStr">
        <is>
          <t>지사</t>
        </is>
      </c>
      <c r="C5" s="39" t="inlineStr">
        <is>
          <t>영업점</t>
        </is>
      </c>
      <c r="D5" s="40" t="inlineStr">
        <is>
          <t>1분기</t>
        </is>
      </c>
      <c r="E5" s="41" t="n"/>
      <c r="F5" s="42" t="n"/>
      <c r="G5" s="43" t="inlineStr">
        <is>
          <t>2분기</t>
        </is>
      </c>
      <c r="H5" s="41" t="n"/>
      <c r="I5" s="44" t="n"/>
      <c r="J5" s="45" t="inlineStr">
        <is>
          <t>합계</t>
        </is>
      </c>
    </row>
    <row r="6" ht="18" customHeight="1" s="35" thickBot="1">
      <c r="B6" s="46" t="n"/>
      <c r="C6" s="47" t="n"/>
      <c r="D6" s="23" t="inlineStr">
        <is>
          <t>1월</t>
        </is>
      </c>
      <c r="E6" s="28" t="inlineStr">
        <is>
          <t>2월</t>
        </is>
      </c>
      <c r="F6" s="5" t="inlineStr">
        <is>
          <t>3월</t>
        </is>
      </c>
      <c r="G6" s="6" t="inlineStr">
        <is>
          <t>4월</t>
        </is>
      </c>
      <c r="H6" s="28" t="inlineStr">
        <is>
          <t>5월</t>
        </is>
      </c>
      <c r="I6" s="30" t="inlineStr">
        <is>
          <t>6월</t>
        </is>
      </c>
      <c r="J6" s="48" t="n"/>
    </row>
    <row r="7">
      <c r="B7" s="26" t="inlineStr">
        <is>
          <t>강남지사</t>
        </is>
      </c>
      <c r="C7" s="3" t="inlineStr">
        <is>
          <t>대치점</t>
        </is>
      </c>
      <c r="D7" s="8" t="n">
        <v>21940000</v>
      </c>
      <c r="E7" s="9" t="n">
        <v>12780000</v>
      </c>
      <c r="F7" s="10" t="n">
        <v>26200000</v>
      </c>
      <c r="G7" s="11" t="n">
        <v>29430000</v>
      </c>
      <c r="H7" s="9" t="n">
        <v>11110000</v>
      </c>
      <c r="I7" s="12" t="n">
        <v>23740000</v>
      </c>
      <c r="J7" s="7">
        <f>SUM(D7:I7)</f>
        <v/>
      </c>
    </row>
    <row r="8">
      <c r="C8" s="3" t="inlineStr">
        <is>
          <t>신사점</t>
        </is>
      </c>
      <c r="D8" s="8" t="n">
        <v>12540000</v>
      </c>
      <c r="E8" s="9" t="n">
        <v>21300000</v>
      </c>
      <c r="F8" s="10" t="n">
        <v>22930000</v>
      </c>
      <c r="G8" s="11" t="n">
        <v>23840000</v>
      </c>
      <c r="H8" s="9" t="n">
        <v>21230000</v>
      </c>
      <c r="I8" s="12" t="n">
        <v>14210000</v>
      </c>
      <c r="J8" s="7">
        <f>SUM(D8:I8)</f>
        <v/>
      </c>
    </row>
    <row r="9">
      <c r="C9" s="3" t="inlineStr">
        <is>
          <t>논현점</t>
        </is>
      </c>
      <c r="D9" s="8" t="n">
        <v>15980000</v>
      </c>
      <c r="E9" s="9" t="n">
        <v>11010000</v>
      </c>
      <c r="F9" s="10" t="n">
        <v>16300000</v>
      </c>
      <c r="G9" s="11" t="n">
        <v>22880000</v>
      </c>
      <c r="H9" s="9" t="n">
        <v>18780000</v>
      </c>
      <c r="I9" s="12" t="n">
        <v>24220000</v>
      </c>
      <c r="J9" s="7">
        <f>SUM(D9:I9)</f>
        <v/>
      </c>
    </row>
    <row r="10">
      <c r="C10" s="3" t="inlineStr">
        <is>
          <t>역삼점</t>
        </is>
      </c>
      <c r="D10" s="8" t="n">
        <v>25190000</v>
      </c>
      <c r="E10" s="9" t="n">
        <v>23610000</v>
      </c>
      <c r="F10" s="10" t="n">
        <v>11600000</v>
      </c>
      <c r="G10" s="11" t="n">
        <v>25140000</v>
      </c>
      <c r="H10" s="9" t="n">
        <v>11050000</v>
      </c>
      <c r="I10" s="12" t="n">
        <v>19990000</v>
      </c>
      <c r="J10" s="7">
        <f>SUM(D10:I10)</f>
        <v/>
      </c>
    </row>
    <row r="11">
      <c r="B11" s="26" t="inlineStr">
        <is>
          <t>강서지사</t>
        </is>
      </c>
      <c r="C11" s="3" t="inlineStr">
        <is>
          <t>방화점</t>
        </is>
      </c>
      <c r="D11" s="8" t="n">
        <v>11070000</v>
      </c>
      <c r="E11" s="9" t="n">
        <v>29140000</v>
      </c>
      <c r="F11" s="10" t="n">
        <v>16190000</v>
      </c>
      <c r="G11" s="11" t="n">
        <v>12710000</v>
      </c>
      <c r="H11" s="9" t="n">
        <v>26740000</v>
      </c>
      <c r="I11" s="12" t="n">
        <v>16140000</v>
      </c>
      <c r="J11" s="7">
        <f>SUM(D11:I11)</f>
        <v/>
      </c>
    </row>
    <row r="12">
      <c r="C12" s="3" t="inlineStr">
        <is>
          <t>발산점</t>
        </is>
      </c>
      <c r="D12" s="8" t="n">
        <v>15980000</v>
      </c>
      <c r="E12" s="9" t="n">
        <v>29720000</v>
      </c>
      <c r="F12" s="10" t="n">
        <v>24910000</v>
      </c>
      <c r="G12" s="11" t="n">
        <v>17580000</v>
      </c>
      <c r="H12" s="9" t="n">
        <v>29710000</v>
      </c>
      <c r="I12" s="12" t="n">
        <v>16130000</v>
      </c>
      <c r="J12" s="7">
        <f>SUM(D12:I12)</f>
        <v/>
      </c>
    </row>
    <row r="13">
      <c r="C13" s="3" t="inlineStr">
        <is>
          <t>화곡점</t>
        </is>
      </c>
      <c r="D13" s="8" t="n">
        <v>14740000</v>
      </c>
      <c r="E13" s="9" t="n">
        <v>26050000</v>
      </c>
      <c r="F13" s="10" t="n">
        <v>15110000</v>
      </c>
      <c r="G13" s="11" t="n">
        <v>17680000</v>
      </c>
      <c r="H13" s="9" t="n">
        <v>13690000</v>
      </c>
      <c r="I13" s="12" t="n">
        <v>13550000</v>
      </c>
      <c r="J13" s="7">
        <f>SUM(D13:I13)</f>
        <v/>
      </c>
    </row>
    <row r="14">
      <c r="C14" s="3" t="inlineStr">
        <is>
          <t>등촌점</t>
        </is>
      </c>
      <c r="D14" s="8" t="n">
        <v>16440000</v>
      </c>
      <c r="E14" s="9" t="n">
        <v>21090000</v>
      </c>
      <c r="F14" s="10" t="n">
        <v>14000000</v>
      </c>
      <c r="G14" s="11" t="n">
        <v>25950000</v>
      </c>
      <c r="H14" s="9" t="n">
        <v>26000000</v>
      </c>
      <c r="I14" s="12" t="n">
        <v>20540000</v>
      </c>
      <c r="J14" s="7">
        <f>SUM(D14:I14)</f>
        <v/>
      </c>
    </row>
    <row r="15">
      <c r="C15" s="3" t="inlineStr">
        <is>
          <t>가양점</t>
        </is>
      </c>
      <c r="D15" s="8" t="n">
        <v>29680000</v>
      </c>
      <c r="E15" s="9" t="n">
        <v>27990000</v>
      </c>
      <c r="F15" s="10" t="n">
        <v>23220000</v>
      </c>
      <c r="G15" s="11" t="n">
        <v>29900000</v>
      </c>
      <c r="H15" s="9" t="n">
        <v>17150000</v>
      </c>
      <c r="I15" s="12" t="n">
        <v>16780000</v>
      </c>
      <c r="J15" s="7">
        <f>SUM(D15:I15)</f>
        <v/>
      </c>
    </row>
  </sheetData>
  <mergeCells count="9">
    <mergeCell ref="D5:F5"/>
    <mergeCell ref="J5:J6"/>
    <mergeCell ref="G5:I5"/>
    <mergeCell ref="B11:B15"/>
    <mergeCell ref="B5:B6"/>
    <mergeCell ref="B7:B10"/>
    <mergeCell ref="B4:C4"/>
    <mergeCell ref="B2:J2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35" min="2" max="2"/>
    <col width="12" customWidth="1" style="35" min="3" max="3"/>
    <col width="10" customWidth="1" style="35" min="4" max="4"/>
    <col width="8" customWidth="1" style="35" min="5" max="5"/>
    <col width="14" customWidth="1" style="35" min="6" max="6"/>
    <col width="3" customWidth="1" style="35" min="7" max="7"/>
    <col width="12" customWidth="1" style="35" min="8" max="8"/>
    <col width="12" customWidth="1" style="35" min="9" max="9"/>
    <col width="12" customWidth="1" style="35" min="10" max="10"/>
    <col width="12" customWidth="1" style="35" min="11" max="11"/>
  </cols>
  <sheetData>
    <row r="2">
      <c r="B2" s="49" t="inlineStr">
        <is>
          <t>천만리 자전거 영업점별 상반기 매출 — 세로로 다시 쌓은 표</t>
        </is>
      </c>
      <c r="H2" s="50" t="inlineStr">
        <is>
          <t>머리글 한 줄 · 한 칸에 한 가지 · 아래로만 쌓기.
커미션은 지사가 아니라 「월」마다 다른 값이라 월 옆에 붙습니다.
9개 영업점 × 6개월 = 54줄. 이제 정렬·필터·피벗이 전부 됩니다.</t>
        </is>
      </c>
    </row>
    <row r="3"/>
    <row r="4">
      <c r="B4" s="51" t="inlineStr">
        <is>
          <t>지사</t>
        </is>
      </c>
      <c r="C4" s="51" t="inlineStr">
        <is>
          <t>영업점</t>
        </is>
      </c>
      <c r="D4" s="51" t="inlineStr">
        <is>
          <t>커미션</t>
        </is>
      </c>
      <c r="E4" s="51" t="inlineStr">
        <is>
          <t>월</t>
        </is>
      </c>
      <c r="F4" s="51" t="inlineStr">
        <is>
          <t>매출</t>
        </is>
      </c>
    </row>
    <row r="5">
      <c r="B5" s="52" t="inlineStr">
        <is>
          <t>강남지사</t>
        </is>
      </c>
      <c r="C5" s="52" t="inlineStr">
        <is>
          <t>대치점</t>
        </is>
      </c>
      <c r="D5" s="53" t="n">
        <v>0.03</v>
      </c>
      <c r="E5" s="54" t="inlineStr">
        <is>
          <t>1월</t>
        </is>
      </c>
      <c r="F5" s="55" t="n">
        <v>21940000</v>
      </c>
    </row>
    <row r="6">
      <c r="B6" s="52" t="inlineStr">
        <is>
          <t>강남지사</t>
        </is>
      </c>
      <c r="C6" s="52" t="inlineStr">
        <is>
          <t>대치점</t>
        </is>
      </c>
      <c r="D6" s="53" t="n">
        <v>0.035</v>
      </c>
      <c r="E6" s="54" t="inlineStr">
        <is>
          <t>2월</t>
        </is>
      </c>
      <c r="F6" s="55" t="n">
        <v>12780000</v>
      </c>
    </row>
    <row r="7">
      <c r="B7" s="52" t="inlineStr">
        <is>
          <t>강남지사</t>
        </is>
      </c>
      <c r="C7" s="52" t="inlineStr">
        <is>
          <t>대치점</t>
        </is>
      </c>
      <c r="D7" s="53" t="n">
        <v>0.0325</v>
      </c>
      <c r="E7" s="54" t="inlineStr">
        <is>
          <t>3월</t>
        </is>
      </c>
      <c r="F7" s="55" t="n">
        <v>26200000</v>
      </c>
    </row>
    <row r="8">
      <c r="B8" s="52" t="inlineStr">
        <is>
          <t>강남지사</t>
        </is>
      </c>
      <c r="C8" s="52" t="inlineStr">
        <is>
          <t>대치점</t>
        </is>
      </c>
      <c r="D8" s="53" t="n">
        <v>0.04</v>
      </c>
      <c r="E8" s="54" t="inlineStr">
        <is>
          <t>4월</t>
        </is>
      </c>
      <c r="F8" s="55" t="n">
        <v>29430000</v>
      </c>
    </row>
    <row r="9">
      <c r="B9" s="52" t="inlineStr">
        <is>
          <t>강남지사</t>
        </is>
      </c>
      <c r="C9" s="52" t="inlineStr">
        <is>
          <t>대치점</t>
        </is>
      </c>
      <c r="D9" s="53" t="n">
        <v>0.034</v>
      </c>
      <c r="E9" s="54" t="inlineStr">
        <is>
          <t>5월</t>
        </is>
      </c>
      <c r="F9" s="55" t="n">
        <v>11110000</v>
      </c>
    </row>
    <row r="10">
      <c r="B10" s="52" t="inlineStr">
        <is>
          <t>강남지사</t>
        </is>
      </c>
      <c r="C10" s="52" t="inlineStr">
        <is>
          <t>대치점</t>
        </is>
      </c>
      <c r="D10" s="53" t="n">
        <v>0.0415</v>
      </c>
      <c r="E10" s="54" t="inlineStr">
        <is>
          <t>6월</t>
        </is>
      </c>
      <c r="F10" s="55" t="n">
        <v>23740000</v>
      </c>
    </row>
    <row r="11">
      <c r="B11" s="52" t="inlineStr">
        <is>
          <t>강남지사</t>
        </is>
      </c>
      <c r="C11" s="52" t="inlineStr">
        <is>
          <t>신사점</t>
        </is>
      </c>
      <c r="D11" s="53" t="n">
        <v>0.03</v>
      </c>
      <c r="E11" s="54" t="inlineStr">
        <is>
          <t>1월</t>
        </is>
      </c>
      <c r="F11" s="55" t="n">
        <v>12540000</v>
      </c>
    </row>
    <row r="12">
      <c r="B12" s="52" t="inlineStr">
        <is>
          <t>강남지사</t>
        </is>
      </c>
      <c r="C12" s="52" t="inlineStr">
        <is>
          <t>신사점</t>
        </is>
      </c>
      <c r="D12" s="53" t="n">
        <v>0.035</v>
      </c>
      <c r="E12" s="54" t="inlineStr">
        <is>
          <t>2월</t>
        </is>
      </c>
      <c r="F12" s="55" t="n">
        <v>21300000</v>
      </c>
    </row>
    <row r="13">
      <c r="B13" s="52" t="inlineStr">
        <is>
          <t>강남지사</t>
        </is>
      </c>
      <c r="C13" s="52" t="inlineStr">
        <is>
          <t>신사점</t>
        </is>
      </c>
      <c r="D13" s="53" t="n">
        <v>0.0325</v>
      </c>
      <c r="E13" s="54" t="inlineStr">
        <is>
          <t>3월</t>
        </is>
      </c>
      <c r="F13" s="55" t="n">
        <v>22930000</v>
      </c>
    </row>
    <row r="14">
      <c r="B14" s="52" t="inlineStr">
        <is>
          <t>강남지사</t>
        </is>
      </c>
      <c r="C14" s="52" t="inlineStr">
        <is>
          <t>신사점</t>
        </is>
      </c>
      <c r="D14" s="53" t="n">
        <v>0.04</v>
      </c>
      <c r="E14" s="54" t="inlineStr">
        <is>
          <t>4월</t>
        </is>
      </c>
      <c r="F14" s="55" t="n">
        <v>23840000</v>
      </c>
    </row>
    <row r="15">
      <c r="B15" s="52" t="inlineStr">
        <is>
          <t>강남지사</t>
        </is>
      </c>
      <c r="C15" s="52" t="inlineStr">
        <is>
          <t>신사점</t>
        </is>
      </c>
      <c r="D15" s="53" t="n">
        <v>0.034</v>
      </c>
      <c r="E15" s="54" t="inlineStr">
        <is>
          <t>5월</t>
        </is>
      </c>
      <c r="F15" s="55" t="n">
        <v>21230000</v>
      </c>
    </row>
    <row r="16">
      <c r="B16" s="52" t="inlineStr">
        <is>
          <t>강남지사</t>
        </is>
      </c>
      <c r="C16" s="52" t="inlineStr">
        <is>
          <t>신사점</t>
        </is>
      </c>
      <c r="D16" s="53" t="n">
        <v>0.0415</v>
      </c>
      <c r="E16" s="54" t="inlineStr">
        <is>
          <t>6월</t>
        </is>
      </c>
      <c r="F16" s="55" t="n">
        <v>14210000</v>
      </c>
    </row>
    <row r="17">
      <c r="B17" s="52" t="inlineStr">
        <is>
          <t>강남지사</t>
        </is>
      </c>
      <c r="C17" s="52" t="inlineStr">
        <is>
          <t>논현점</t>
        </is>
      </c>
      <c r="D17" s="53" t="n">
        <v>0.03</v>
      </c>
      <c r="E17" s="54" t="inlineStr">
        <is>
          <t>1월</t>
        </is>
      </c>
      <c r="F17" s="55" t="n">
        <v>15980000</v>
      </c>
    </row>
    <row r="18">
      <c r="B18" s="52" t="inlineStr">
        <is>
          <t>강남지사</t>
        </is>
      </c>
      <c r="C18" s="52" t="inlineStr">
        <is>
          <t>논현점</t>
        </is>
      </c>
      <c r="D18" s="53" t="n">
        <v>0.035</v>
      </c>
      <c r="E18" s="54" t="inlineStr">
        <is>
          <t>2월</t>
        </is>
      </c>
      <c r="F18" s="55" t="n">
        <v>11010000</v>
      </c>
    </row>
    <row r="19">
      <c r="B19" s="52" t="inlineStr">
        <is>
          <t>강남지사</t>
        </is>
      </c>
      <c r="C19" s="52" t="inlineStr">
        <is>
          <t>논현점</t>
        </is>
      </c>
      <c r="D19" s="53" t="n">
        <v>0.0325</v>
      </c>
      <c r="E19" s="54" t="inlineStr">
        <is>
          <t>3월</t>
        </is>
      </c>
      <c r="F19" s="55" t="n">
        <v>16300000</v>
      </c>
    </row>
    <row r="20">
      <c r="B20" s="52" t="inlineStr">
        <is>
          <t>강남지사</t>
        </is>
      </c>
      <c r="C20" s="52" t="inlineStr">
        <is>
          <t>논현점</t>
        </is>
      </c>
      <c r="D20" s="53" t="n">
        <v>0.04</v>
      </c>
      <c r="E20" s="54" t="inlineStr">
        <is>
          <t>4월</t>
        </is>
      </c>
      <c r="F20" s="55" t="n">
        <v>22880000</v>
      </c>
    </row>
    <row r="21">
      <c r="B21" s="52" t="inlineStr">
        <is>
          <t>강남지사</t>
        </is>
      </c>
      <c r="C21" s="52" t="inlineStr">
        <is>
          <t>논현점</t>
        </is>
      </c>
      <c r="D21" s="53" t="n">
        <v>0.034</v>
      </c>
      <c r="E21" s="54" t="inlineStr">
        <is>
          <t>5월</t>
        </is>
      </c>
      <c r="F21" s="55" t="n">
        <v>18780000</v>
      </c>
    </row>
    <row r="22">
      <c r="B22" s="52" t="inlineStr">
        <is>
          <t>강남지사</t>
        </is>
      </c>
      <c r="C22" s="52" t="inlineStr">
        <is>
          <t>논현점</t>
        </is>
      </c>
      <c r="D22" s="53" t="n">
        <v>0.0415</v>
      </c>
      <c r="E22" s="54" t="inlineStr">
        <is>
          <t>6월</t>
        </is>
      </c>
      <c r="F22" s="55" t="n">
        <v>24220000</v>
      </c>
    </row>
    <row r="23">
      <c r="B23" s="52" t="inlineStr">
        <is>
          <t>강남지사</t>
        </is>
      </c>
      <c r="C23" s="52" t="inlineStr">
        <is>
          <t>역삼점</t>
        </is>
      </c>
      <c r="D23" s="53" t="n">
        <v>0.03</v>
      </c>
      <c r="E23" s="54" t="inlineStr">
        <is>
          <t>1월</t>
        </is>
      </c>
      <c r="F23" s="55" t="n">
        <v>25190000</v>
      </c>
    </row>
    <row r="24">
      <c r="B24" s="52" t="inlineStr">
        <is>
          <t>강남지사</t>
        </is>
      </c>
      <c r="C24" s="52" t="inlineStr">
        <is>
          <t>역삼점</t>
        </is>
      </c>
      <c r="D24" s="53" t="n">
        <v>0.035</v>
      </c>
      <c r="E24" s="54" t="inlineStr">
        <is>
          <t>2월</t>
        </is>
      </c>
      <c r="F24" s="55" t="n">
        <v>23610000</v>
      </c>
    </row>
    <row r="25">
      <c r="B25" s="52" t="inlineStr">
        <is>
          <t>강남지사</t>
        </is>
      </c>
      <c r="C25" s="52" t="inlineStr">
        <is>
          <t>역삼점</t>
        </is>
      </c>
      <c r="D25" s="53" t="n">
        <v>0.0325</v>
      </c>
      <c r="E25" s="54" t="inlineStr">
        <is>
          <t>3월</t>
        </is>
      </c>
      <c r="F25" s="55" t="n">
        <v>11600000</v>
      </c>
    </row>
    <row r="26">
      <c r="B26" s="52" t="inlineStr">
        <is>
          <t>강남지사</t>
        </is>
      </c>
      <c r="C26" s="52" t="inlineStr">
        <is>
          <t>역삼점</t>
        </is>
      </c>
      <c r="D26" s="53" t="n">
        <v>0.04</v>
      </c>
      <c r="E26" s="54" t="inlineStr">
        <is>
          <t>4월</t>
        </is>
      </c>
      <c r="F26" s="55" t="n">
        <v>25140000</v>
      </c>
    </row>
    <row r="27">
      <c r="B27" s="52" t="inlineStr">
        <is>
          <t>강남지사</t>
        </is>
      </c>
      <c r="C27" s="52" t="inlineStr">
        <is>
          <t>역삼점</t>
        </is>
      </c>
      <c r="D27" s="53" t="n">
        <v>0.034</v>
      </c>
      <c r="E27" s="54" t="inlineStr">
        <is>
          <t>5월</t>
        </is>
      </c>
      <c r="F27" s="55" t="n">
        <v>11050000</v>
      </c>
    </row>
    <row r="28">
      <c r="B28" s="52" t="inlineStr">
        <is>
          <t>강남지사</t>
        </is>
      </c>
      <c r="C28" s="52" t="inlineStr">
        <is>
          <t>역삼점</t>
        </is>
      </c>
      <c r="D28" s="53" t="n">
        <v>0.0415</v>
      </c>
      <c r="E28" s="54" t="inlineStr">
        <is>
          <t>6월</t>
        </is>
      </c>
      <c r="F28" s="55" t="n">
        <v>19990000</v>
      </c>
    </row>
    <row r="29">
      <c r="B29" s="52" t="inlineStr">
        <is>
          <t>강서지사</t>
        </is>
      </c>
      <c r="C29" s="52" t="inlineStr">
        <is>
          <t>방화점</t>
        </is>
      </c>
      <c r="D29" s="53" t="n">
        <v>0.03</v>
      </c>
      <c r="E29" s="54" t="inlineStr">
        <is>
          <t>1월</t>
        </is>
      </c>
      <c r="F29" s="55" t="n">
        <v>11070000</v>
      </c>
    </row>
    <row r="30">
      <c r="B30" s="52" t="inlineStr">
        <is>
          <t>강서지사</t>
        </is>
      </c>
      <c r="C30" s="52" t="inlineStr">
        <is>
          <t>방화점</t>
        </is>
      </c>
      <c r="D30" s="53" t="n">
        <v>0.035</v>
      </c>
      <c r="E30" s="54" t="inlineStr">
        <is>
          <t>2월</t>
        </is>
      </c>
      <c r="F30" s="55" t="n">
        <v>29140000</v>
      </c>
    </row>
    <row r="31">
      <c r="B31" s="52" t="inlineStr">
        <is>
          <t>강서지사</t>
        </is>
      </c>
      <c r="C31" s="52" t="inlineStr">
        <is>
          <t>방화점</t>
        </is>
      </c>
      <c r="D31" s="53" t="n">
        <v>0.0325</v>
      </c>
      <c r="E31" s="54" t="inlineStr">
        <is>
          <t>3월</t>
        </is>
      </c>
      <c r="F31" s="55" t="n">
        <v>16190000</v>
      </c>
    </row>
    <row r="32">
      <c r="B32" s="52" t="inlineStr">
        <is>
          <t>강서지사</t>
        </is>
      </c>
      <c r="C32" s="52" t="inlineStr">
        <is>
          <t>방화점</t>
        </is>
      </c>
      <c r="D32" s="53" t="n">
        <v>0.04</v>
      </c>
      <c r="E32" s="54" t="inlineStr">
        <is>
          <t>4월</t>
        </is>
      </c>
      <c r="F32" s="55" t="n">
        <v>12710000</v>
      </c>
    </row>
    <row r="33">
      <c r="B33" s="52" t="inlineStr">
        <is>
          <t>강서지사</t>
        </is>
      </c>
      <c r="C33" s="52" t="inlineStr">
        <is>
          <t>방화점</t>
        </is>
      </c>
      <c r="D33" s="53" t="n">
        <v>0.034</v>
      </c>
      <c r="E33" s="54" t="inlineStr">
        <is>
          <t>5월</t>
        </is>
      </c>
      <c r="F33" s="55" t="n">
        <v>26740000</v>
      </c>
    </row>
    <row r="34">
      <c r="B34" s="52" t="inlineStr">
        <is>
          <t>강서지사</t>
        </is>
      </c>
      <c r="C34" s="52" t="inlineStr">
        <is>
          <t>방화점</t>
        </is>
      </c>
      <c r="D34" s="53" t="n">
        <v>0.0415</v>
      </c>
      <c r="E34" s="54" t="inlineStr">
        <is>
          <t>6월</t>
        </is>
      </c>
      <c r="F34" s="55" t="n">
        <v>16140000</v>
      </c>
    </row>
    <row r="35">
      <c r="B35" s="52" t="inlineStr">
        <is>
          <t>강서지사</t>
        </is>
      </c>
      <c r="C35" s="52" t="inlineStr">
        <is>
          <t>발산점</t>
        </is>
      </c>
      <c r="D35" s="53" t="n">
        <v>0.03</v>
      </c>
      <c r="E35" s="54" t="inlineStr">
        <is>
          <t>1월</t>
        </is>
      </c>
      <c r="F35" s="55" t="n">
        <v>15980000</v>
      </c>
    </row>
    <row r="36">
      <c r="B36" s="52" t="inlineStr">
        <is>
          <t>강서지사</t>
        </is>
      </c>
      <c r="C36" s="52" t="inlineStr">
        <is>
          <t>발산점</t>
        </is>
      </c>
      <c r="D36" s="53" t="n">
        <v>0.035</v>
      </c>
      <c r="E36" s="54" t="inlineStr">
        <is>
          <t>2월</t>
        </is>
      </c>
      <c r="F36" s="55" t="n">
        <v>29720000</v>
      </c>
    </row>
    <row r="37">
      <c r="B37" s="52" t="inlineStr">
        <is>
          <t>강서지사</t>
        </is>
      </c>
      <c r="C37" s="52" t="inlineStr">
        <is>
          <t>발산점</t>
        </is>
      </c>
      <c r="D37" s="53" t="n">
        <v>0.0325</v>
      </c>
      <c r="E37" s="54" t="inlineStr">
        <is>
          <t>3월</t>
        </is>
      </c>
      <c r="F37" s="55" t="n">
        <v>24910000</v>
      </c>
    </row>
    <row r="38">
      <c r="B38" s="52" t="inlineStr">
        <is>
          <t>강서지사</t>
        </is>
      </c>
      <c r="C38" s="52" t="inlineStr">
        <is>
          <t>발산점</t>
        </is>
      </c>
      <c r="D38" s="53" t="n">
        <v>0.04</v>
      </c>
      <c r="E38" s="54" t="inlineStr">
        <is>
          <t>4월</t>
        </is>
      </c>
      <c r="F38" s="55" t="n">
        <v>17580000</v>
      </c>
    </row>
    <row r="39">
      <c r="B39" s="52" t="inlineStr">
        <is>
          <t>강서지사</t>
        </is>
      </c>
      <c r="C39" s="52" t="inlineStr">
        <is>
          <t>발산점</t>
        </is>
      </c>
      <c r="D39" s="53" t="n">
        <v>0.034</v>
      </c>
      <c r="E39" s="54" t="inlineStr">
        <is>
          <t>5월</t>
        </is>
      </c>
      <c r="F39" s="55" t="n">
        <v>29710000</v>
      </c>
    </row>
    <row r="40">
      <c r="B40" s="52" t="inlineStr">
        <is>
          <t>강서지사</t>
        </is>
      </c>
      <c r="C40" s="52" t="inlineStr">
        <is>
          <t>발산점</t>
        </is>
      </c>
      <c r="D40" s="53" t="n">
        <v>0.0415</v>
      </c>
      <c r="E40" s="54" t="inlineStr">
        <is>
          <t>6월</t>
        </is>
      </c>
      <c r="F40" s="55" t="n">
        <v>16130000</v>
      </c>
    </row>
    <row r="41">
      <c r="B41" s="52" t="inlineStr">
        <is>
          <t>강서지사</t>
        </is>
      </c>
      <c r="C41" s="52" t="inlineStr">
        <is>
          <t>화곡점</t>
        </is>
      </c>
      <c r="D41" s="53" t="n">
        <v>0.03</v>
      </c>
      <c r="E41" s="54" t="inlineStr">
        <is>
          <t>1월</t>
        </is>
      </c>
      <c r="F41" s="55" t="n">
        <v>14740000</v>
      </c>
    </row>
    <row r="42">
      <c r="B42" s="52" t="inlineStr">
        <is>
          <t>강서지사</t>
        </is>
      </c>
      <c r="C42" s="52" t="inlineStr">
        <is>
          <t>화곡점</t>
        </is>
      </c>
      <c r="D42" s="53" t="n">
        <v>0.035</v>
      </c>
      <c r="E42" s="54" t="inlineStr">
        <is>
          <t>2월</t>
        </is>
      </c>
      <c r="F42" s="55" t="n">
        <v>26050000</v>
      </c>
    </row>
    <row r="43">
      <c r="B43" s="52" t="inlineStr">
        <is>
          <t>강서지사</t>
        </is>
      </c>
      <c r="C43" s="52" t="inlineStr">
        <is>
          <t>화곡점</t>
        </is>
      </c>
      <c r="D43" s="53" t="n">
        <v>0.0325</v>
      </c>
      <c r="E43" s="54" t="inlineStr">
        <is>
          <t>3월</t>
        </is>
      </c>
      <c r="F43" s="55" t="n">
        <v>15110000</v>
      </c>
    </row>
    <row r="44">
      <c r="B44" s="52" t="inlineStr">
        <is>
          <t>강서지사</t>
        </is>
      </c>
      <c r="C44" s="52" t="inlineStr">
        <is>
          <t>화곡점</t>
        </is>
      </c>
      <c r="D44" s="53" t="n">
        <v>0.04</v>
      </c>
      <c r="E44" s="54" t="inlineStr">
        <is>
          <t>4월</t>
        </is>
      </c>
      <c r="F44" s="55" t="n">
        <v>17680000</v>
      </c>
    </row>
    <row r="45">
      <c r="B45" s="52" t="inlineStr">
        <is>
          <t>강서지사</t>
        </is>
      </c>
      <c r="C45" s="52" t="inlineStr">
        <is>
          <t>화곡점</t>
        </is>
      </c>
      <c r="D45" s="53" t="n">
        <v>0.034</v>
      </c>
      <c r="E45" s="54" t="inlineStr">
        <is>
          <t>5월</t>
        </is>
      </c>
      <c r="F45" s="55" t="n">
        <v>13690000</v>
      </c>
    </row>
    <row r="46">
      <c r="B46" s="52" t="inlineStr">
        <is>
          <t>강서지사</t>
        </is>
      </c>
      <c r="C46" s="52" t="inlineStr">
        <is>
          <t>화곡점</t>
        </is>
      </c>
      <c r="D46" s="53" t="n">
        <v>0.0415</v>
      </c>
      <c r="E46" s="54" t="inlineStr">
        <is>
          <t>6월</t>
        </is>
      </c>
      <c r="F46" s="55" t="n">
        <v>13550000</v>
      </c>
    </row>
    <row r="47">
      <c r="B47" s="52" t="inlineStr">
        <is>
          <t>강서지사</t>
        </is>
      </c>
      <c r="C47" s="52" t="inlineStr">
        <is>
          <t>등촌점</t>
        </is>
      </c>
      <c r="D47" s="53" t="n">
        <v>0.03</v>
      </c>
      <c r="E47" s="54" t="inlineStr">
        <is>
          <t>1월</t>
        </is>
      </c>
      <c r="F47" s="55" t="n">
        <v>16440000</v>
      </c>
    </row>
    <row r="48">
      <c r="B48" s="52" t="inlineStr">
        <is>
          <t>강서지사</t>
        </is>
      </c>
      <c r="C48" s="52" t="inlineStr">
        <is>
          <t>등촌점</t>
        </is>
      </c>
      <c r="D48" s="53" t="n">
        <v>0.035</v>
      </c>
      <c r="E48" s="54" t="inlineStr">
        <is>
          <t>2월</t>
        </is>
      </c>
      <c r="F48" s="55" t="n">
        <v>21090000</v>
      </c>
    </row>
    <row r="49">
      <c r="B49" s="52" t="inlineStr">
        <is>
          <t>강서지사</t>
        </is>
      </c>
      <c r="C49" s="52" t="inlineStr">
        <is>
          <t>등촌점</t>
        </is>
      </c>
      <c r="D49" s="53" t="n">
        <v>0.0325</v>
      </c>
      <c r="E49" s="54" t="inlineStr">
        <is>
          <t>3월</t>
        </is>
      </c>
      <c r="F49" s="55" t="n">
        <v>14000000</v>
      </c>
    </row>
    <row r="50">
      <c r="B50" s="52" t="inlineStr">
        <is>
          <t>강서지사</t>
        </is>
      </c>
      <c r="C50" s="52" t="inlineStr">
        <is>
          <t>등촌점</t>
        </is>
      </c>
      <c r="D50" s="53" t="n">
        <v>0.04</v>
      </c>
      <c r="E50" s="54" t="inlineStr">
        <is>
          <t>4월</t>
        </is>
      </c>
      <c r="F50" s="55" t="n">
        <v>25950000</v>
      </c>
    </row>
    <row r="51">
      <c r="B51" s="52" t="inlineStr">
        <is>
          <t>강서지사</t>
        </is>
      </c>
      <c r="C51" s="52" t="inlineStr">
        <is>
          <t>등촌점</t>
        </is>
      </c>
      <c r="D51" s="53" t="n">
        <v>0.034</v>
      </c>
      <c r="E51" s="54" t="inlineStr">
        <is>
          <t>5월</t>
        </is>
      </c>
      <c r="F51" s="55" t="n">
        <v>26000000</v>
      </c>
    </row>
    <row r="52">
      <c r="B52" s="52" t="inlineStr">
        <is>
          <t>강서지사</t>
        </is>
      </c>
      <c r="C52" s="52" t="inlineStr">
        <is>
          <t>등촌점</t>
        </is>
      </c>
      <c r="D52" s="53" t="n">
        <v>0.0415</v>
      </c>
      <c r="E52" s="54" t="inlineStr">
        <is>
          <t>6월</t>
        </is>
      </c>
      <c r="F52" s="55" t="n">
        <v>20540000</v>
      </c>
    </row>
    <row r="53">
      <c r="B53" s="52" t="inlineStr">
        <is>
          <t>강서지사</t>
        </is>
      </c>
      <c r="C53" s="52" t="inlineStr">
        <is>
          <t>가양점</t>
        </is>
      </c>
      <c r="D53" s="53" t="n">
        <v>0.03</v>
      </c>
      <c r="E53" s="54" t="inlineStr">
        <is>
          <t>1월</t>
        </is>
      </c>
      <c r="F53" s="55" t="n">
        <v>29680000</v>
      </c>
    </row>
    <row r="54">
      <c r="B54" s="52" t="inlineStr">
        <is>
          <t>강서지사</t>
        </is>
      </c>
      <c r="C54" s="52" t="inlineStr">
        <is>
          <t>가양점</t>
        </is>
      </c>
      <c r="D54" s="53" t="n">
        <v>0.035</v>
      </c>
      <c r="E54" s="54" t="inlineStr">
        <is>
          <t>2월</t>
        </is>
      </c>
      <c r="F54" s="55" t="n">
        <v>27990000</v>
      </c>
    </row>
    <row r="55">
      <c r="B55" s="52" t="inlineStr">
        <is>
          <t>강서지사</t>
        </is>
      </c>
      <c r="C55" s="52" t="inlineStr">
        <is>
          <t>가양점</t>
        </is>
      </c>
      <c r="D55" s="53" t="n">
        <v>0.0325</v>
      </c>
      <c r="E55" s="54" t="inlineStr">
        <is>
          <t>3월</t>
        </is>
      </c>
      <c r="F55" s="55" t="n">
        <v>23220000</v>
      </c>
    </row>
    <row r="56">
      <c r="B56" s="52" t="inlineStr">
        <is>
          <t>강서지사</t>
        </is>
      </c>
      <c r="C56" s="52" t="inlineStr">
        <is>
          <t>가양점</t>
        </is>
      </c>
      <c r="D56" s="53" t="n">
        <v>0.04</v>
      </c>
      <c r="E56" s="54" t="inlineStr">
        <is>
          <t>4월</t>
        </is>
      </c>
      <c r="F56" s="55" t="n">
        <v>29900000</v>
      </c>
    </row>
    <row r="57">
      <c r="B57" s="52" t="inlineStr">
        <is>
          <t>강서지사</t>
        </is>
      </c>
      <c r="C57" s="52" t="inlineStr">
        <is>
          <t>가양점</t>
        </is>
      </c>
      <c r="D57" s="53" t="n">
        <v>0.034</v>
      </c>
      <c r="E57" s="54" t="inlineStr">
        <is>
          <t>5월</t>
        </is>
      </c>
      <c r="F57" s="55" t="n">
        <v>17150000</v>
      </c>
    </row>
    <row r="58">
      <c r="B58" s="52" t="inlineStr">
        <is>
          <t>강서지사</t>
        </is>
      </c>
      <c r="C58" s="52" t="inlineStr">
        <is>
          <t>가양점</t>
        </is>
      </c>
      <c r="D58" s="53" t="n">
        <v>0.0415</v>
      </c>
      <c r="E58" s="54" t="inlineStr">
        <is>
          <t>6월</t>
        </is>
      </c>
      <c r="F58" s="55" t="n">
        <v>16780000</v>
      </c>
    </row>
    <row r="59">
      <c r="B59" s="56" t="inlineStr">
        <is>
          <t>합계</t>
        </is>
      </c>
      <c r="F59" s="57">
        <f>SUM(F5:F58)</f>
        <v/>
      </c>
    </row>
  </sheetData>
  <mergeCells count="1">
    <mergeCell ref="H2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Oppadu</dc:creator>
  <dcterms:created xsi:type="dcterms:W3CDTF">2021-03-01T13:37:05Z</dcterms:created>
  <dcterms:modified xsi:type="dcterms:W3CDTF">2026-09-22T14:19:07Z</dcterms:modified>
  <cp:lastModifiedBy>Oppadu</cp:lastModifiedBy>
</cp:coreProperties>
</file>