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</font>
    <font>
      <name val="맑은 고딕"/>
      <charset val="129"/>
      <family val="2"/>
      <color theme="0"/>
      <sz val="11"/>
    </font>
    <font>
      <name val="맑은 고딕"/>
      <charset val="129"/>
      <family val="2"/>
      <sz val="8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0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00FFF9E6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Continuous" vertical="center"/>
    </xf>
    <xf numFmtId="0" fontId="0" fillId="0" borderId="0" pivotButton="0" quotePrefix="0" xfId="0"/>
    <xf numFmtId="0" fontId="0" fillId="0" borderId="1" pivotButton="0" quotePrefix="0" xfId="0"/>
    <xf numFmtId="0" fontId="5" fillId="3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7"/>
  <sheetViews>
    <sheetView tabSelected="1" zoomScale="130" zoomScaleNormal="130" workbookViewId="0">
      <selection activeCell="A1" sqref="A1"/>
    </sheetView>
  </sheetViews>
  <sheetFormatPr baseColWidth="8" defaultRowHeight="16.5"/>
  <cols>
    <col width="6.375" customWidth="1" style="8" min="1" max="1"/>
    <col width="14.25" customWidth="1" style="8" min="2" max="2"/>
    <col width="13" customWidth="1" style="8" min="3" max="3"/>
    <col width="16.125" customWidth="1" style="8" min="4" max="4"/>
    <col width="13.875" customWidth="1" style="8" min="6" max="6"/>
    <col width="12.5" customWidth="1" style="1" min="7" max="7"/>
    <col width="15.75" customWidth="1" style="1" min="8" max="8"/>
    <col width="14" customWidth="1" style="8" min="10" max="10"/>
  </cols>
  <sheetData>
    <row r="1" ht="17.25" customHeight="1" s="8" thickBot="1"/>
    <row r="2" ht="22.9" customHeight="1" s="8" thickBot="1">
      <c r="B2" s="7" t="inlineStr">
        <is>
          <t>사용된 쿠폰</t>
        </is>
      </c>
      <c r="C2" s="7" t="n"/>
      <c r="D2" s="7" t="n"/>
      <c r="F2" s="6" t="inlineStr">
        <is>
          <t>발송된 쿠폰 리스트</t>
        </is>
      </c>
      <c r="G2" s="9" t="n"/>
      <c r="H2" s="9" t="n"/>
    </row>
    <row r="4">
      <c r="B4" s="2" t="inlineStr">
        <is>
          <t>쿠폰번호</t>
        </is>
      </c>
      <c r="C4" s="3" t="inlineStr">
        <is>
          <t>고객명</t>
        </is>
      </c>
      <c r="D4" s="3" t="inlineStr">
        <is>
          <t>연락처</t>
        </is>
      </c>
      <c r="F4" s="2" t="inlineStr">
        <is>
          <t>쿠폰번호</t>
        </is>
      </c>
      <c r="G4" s="3" t="inlineStr">
        <is>
          <t>고객명</t>
        </is>
      </c>
      <c r="H4" s="3" t="inlineStr">
        <is>
          <t>연락처</t>
        </is>
      </c>
      <c r="J4" s="10" t="inlineStr">
        <is>
          <t>B5:B17 → 데이터 → 데이터 유효성 검사 →
제한 대상 「사용자 지정」
=COUNTIF($B$5:$B$17,B5)=1
「오류 메시지」 탭에
「이미 사용된 쿠폰번호입니다」 를 적어 둡니다.
B7 에 RBOU(=B5) 를 쳐 보세요. 막힙니다.</t>
        </is>
      </c>
    </row>
    <row r="5">
      <c r="B5" s="5" t="inlineStr">
        <is>
          <t>RBOU</t>
        </is>
      </c>
      <c r="C5" s="5">
        <f>IFERROR(VLOOKUP(B5,$F$4:$H$17,2,0),"-")</f>
        <v/>
      </c>
      <c r="D5" s="5">
        <f>IFERROR(VLOOKUP(B5,$F$4:$H$17,3,0),"-")</f>
        <v/>
      </c>
      <c r="F5" s="5" t="inlineStr">
        <is>
          <t>RBOU</t>
        </is>
      </c>
      <c r="G5" s="5" t="inlineStr">
        <is>
          <t>최하언</t>
        </is>
      </c>
      <c r="H5" s="5" t="inlineStr">
        <is>
          <t>010-2540-7960</t>
        </is>
      </c>
    </row>
    <row r="6">
      <c r="B6" s="5" t="inlineStr">
        <is>
          <t>HRRK</t>
        </is>
      </c>
      <c r="C6" s="5">
        <f>IFERROR(VLOOKUP(B6,$F$4:$H$17,2,0),"-")</f>
        <v/>
      </c>
      <c r="D6" s="5">
        <f>IFERROR(VLOOKUP(B6,$F$4:$H$17,3,0),"-")</f>
        <v/>
      </c>
      <c r="F6" s="5" t="inlineStr">
        <is>
          <t>HRRK</t>
        </is>
      </c>
      <c r="G6" s="5" t="inlineStr">
        <is>
          <t>정은경</t>
        </is>
      </c>
      <c r="H6" s="5" t="inlineStr">
        <is>
          <t>010-5530-4901</t>
        </is>
      </c>
    </row>
    <row r="7">
      <c r="B7" s="5" t="n"/>
      <c r="C7" s="5">
        <f>IFERROR(VLOOKUP(B7,$F$4:$H$17,2,0),"-")</f>
        <v/>
      </c>
      <c r="D7" s="5">
        <f>IFERROR(VLOOKUP(B7,$F$4:$H$17,3,0),"-")</f>
        <v/>
      </c>
      <c r="F7" s="5" t="inlineStr">
        <is>
          <t>RDLB</t>
        </is>
      </c>
      <c r="G7" s="5" t="inlineStr">
        <is>
          <t>박하엘</t>
        </is>
      </c>
      <c r="H7" s="5" t="inlineStr">
        <is>
          <t>010-6603-6733</t>
        </is>
      </c>
    </row>
    <row r="8">
      <c r="B8" s="5" t="n"/>
      <c r="C8" s="5">
        <f>IFERROR(VLOOKUP(B8,$F$4:$H$17,2,0),"-")</f>
        <v/>
      </c>
      <c r="D8" s="5">
        <f>IFERROR(VLOOKUP(B8,$F$4:$H$17,3,0),"-")</f>
        <v/>
      </c>
      <c r="F8" s="5" t="inlineStr">
        <is>
          <t>PTUD</t>
        </is>
      </c>
      <c r="G8" s="5" t="inlineStr">
        <is>
          <t>정장우</t>
        </is>
      </c>
      <c r="H8" s="5" t="inlineStr">
        <is>
          <t>010-2921-4409</t>
        </is>
      </c>
    </row>
    <row r="9">
      <c r="B9" s="5" t="n"/>
      <c r="C9" s="5">
        <f>IFERROR(VLOOKUP(B9,$F$4:$H$17,2,0),"-")</f>
        <v/>
      </c>
      <c r="D9" s="5">
        <f>IFERROR(VLOOKUP(B9,$F$4:$H$17,3,0),"-")</f>
        <v/>
      </c>
      <c r="F9" s="5" t="inlineStr">
        <is>
          <t>LDGN</t>
        </is>
      </c>
      <c r="G9" s="5" t="inlineStr">
        <is>
          <t>정도균</t>
        </is>
      </c>
      <c r="H9" s="5" t="inlineStr">
        <is>
          <t>010-4874-3255</t>
        </is>
      </c>
    </row>
    <row r="10">
      <c r="B10" s="5" t="n"/>
      <c r="C10" s="5">
        <f>IFERROR(VLOOKUP(B10,$F$4:$H$17,2,0),"-")</f>
        <v/>
      </c>
      <c r="D10" s="5">
        <f>IFERROR(VLOOKUP(B10,$F$4:$H$17,3,0),"-")</f>
        <v/>
      </c>
      <c r="F10" s="5" t="inlineStr">
        <is>
          <t>NAGO</t>
        </is>
      </c>
      <c r="G10" s="5" t="inlineStr">
        <is>
          <t>김도유</t>
        </is>
      </c>
      <c r="H10" s="5" t="inlineStr">
        <is>
          <t>010-3596-2881</t>
        </is>
      </c>
    </row>
    <row r="11">
      <c r="B11" s="5" t="n"/>
      <c r="C11" s="5">
        <f>IFERROR(VLOOKUP(B11,$F$4:$H$17,2,0),"-")</f>
        <v/>
      </c>
      <c r="D11" s="5">
        <f>IFERROR(VLOOKUP(B11,$F$4:$H$17,3,0),"-")</f>
        <v/>
      </c>
      <c r="F11" s="5" t="inlineStr">
        <is>
          <t>ZVWF</t>
        </is>
      </c>
      <c r="G11" s="5" t="inlineStr">
        <is>
          <t>정솜</t>
        </is>
      </c>
      <c r="H11" s="5" t="inlineStr">
        <is>
          <t>010-3533-9381</t>
        </is>
      </c>
    </row>
    <row r="12">
      <c r="B12" s="5" t="n"/>
      <c r="C12" s="5">
        <f>IFERROR(VLOOKUP(B12,$F$4:$H$17,2,0),"-")</f>
        <v/>
      </c>
      <c r="D12" s="5">
        <f>IFERROR(VLOOKUP(B12,$F$4:$H$17,3,0),"-")</f>
        <v/>
      </c>
      <c r="F12" s="5" t="inlineStr">
        <is>
          <t>WNTQ</t>
        </is>
      </c>
      <c r="G12" s="5" t="inlineStr">
        <is>
          <t>최설하</t>
        </is>
      </c>
      <c r="H12" s="5" t="inlineStr">
        <is>
          <t>010-8560-1684</t>
        </is>
      </c>
    </row>
    <row r="13">
      <c r="B13" s="5" t="n"/>
      <c r="C13" s="5">
        <f>IFERROR(VLOOKUP(B13,$F$4:$H$17,2,0),"-")</f>
        <v/>
      </c>
      <c r="D13" s="5">
        <f>IFERROR(VLOOKUP(B13,$F$4:$H$17,3,0),"-")</f>
        <v/>
      </c>
      <c r="F13" s="5" t="inlineStr">
        <is>
          <t>XGNN</t>
        </is>
      </c>
      <c r="G13" s="5" t="inlineStr">
        <is>
          <t>박예설</t>
        </is>
      </c>
      <c r="H13" s="5" t="inlineStr">
        <is>
          <t>010-3215-6012</t>
        </is>
      </c>
    </row>
    <row r="14">
      <c r="B14" s="5" t="n"/>
      <c r="C14" s="5">
        <f>IFERROR(VLOOKUP(B14,$F$4:$H$17,2,0),"-")</f>
        <v/>
      </c>
      <c r="D14" s="5">
        <f>IFERROR(VLOOKUP(B14,$F$4:$H$17,3,0),"-")</f>
        <v/>
      </c>
      <c r="F14" s="5" t="inlineStr">
        <is>
          <t>XRPS</t>
        </is>
      </c>
      <c r="G14" s="5" t="inlineStr">
        <is>
          <t>김혜랑</t>
        </is>
      </c>
      <c r="H14" s="5" t="inlineStr">
        <is>
          <t>010-1747-3741</t>
        </is>
      </c>
    </row>
    <row r="15">
      <c r="B15" s="5" t="n"/>
      <c r="C15" s="5">
        <f>IFERROR(VLOOKUP(B15,$F$4:$H$17,2,0),"-")</f>
        <v/>
      </c>
      <c r="D15" s="5">
        <f>IFERROR(VLOOKUP(B15,$F$4:$H$17,3,0),"-")</f>
        <v/>
      </c>
      <c r="F15" s="5" t="inlineStr">
        <is>
          <t>PCQS</t>
        </is>
      </c>
      <c r="G15" s="5" t="inlineStr">
        <is>
          <t>이새은</t>
        </is>
      </c>
      <c r="H15" s="5" t="inlineStr">
        <is>
          <t>010-3494-8085</t>
        </is>
      </c>
    </row>
    <row r="16">
      <c r="B16" s="5" t="n"/>
      <c r="C16" s="5">
        <f>IFERROR(VLOOKUP(B16,$F$4:$H$17,2,0),"-")</f>
        <v/>
      </c>
      <c r="D16" s="5">
        <f>IFERROR(VLOOKUP(B16,$F$4:$H$17,3,0),"-")</f>
        <v/>
      </c>
      <c r="F16" s="5" t="inlineStr">
        <is>
          <t>UFKZ</t>
        </is>
      </c>
      <c r="G16" s="5" t="inlineStr">
        <is>
          <t>박은수</t>
        </is>
      </c>
      <c r="H16" s="5" t="inlineStr">
        <is>
          <t>010-1592-3242</t>
        </is>
      </c>
    </row>
    <row r="17">
      <c r="B17" s="4" t="n"/>
      <c r="C17" s="4" t="n"/>
      <c r="D17" s="4" t="n"/>
      <c r="F17" s="5" t="inlineStr">
        <is>
          <t>CNUX</t>
        </is>
      </c>
      <c r="G17" s="5" t="inlineStr">
        <is>
          <t>최소아</t>
        </is>
      </c>
      <c r="H17" s="5" t="inlineStr">
        <is>
          <t>010-1867-3027</t>
        </is>
      </c>
    </row>
  </sheetData>
  <mergeCells count="2">
    <mergeCell ref="J4:M13"/>
    <mergeCell ref="F2:H2"/>
  </mergeCells>
  <dataValidations count="1">
    <dataValidation sqref="B5:B17" showDropDown="0" showInputMessage="0" showErrorMessage="1" allowBlank="1" errorTitle="중복된 쿠폰번호" error="이미 사용된 쿠폰번호입니다." type="custom" errorStyle="stop">
      <formula1>COUNTIF($B$5:$B$17,B5)=1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2021-03-08T14:33:12Z</dcterms:created>
  <dcterms:modified xsi:type="dcterms:W3CDTF">2026-09-22T14:19:08Z</dcterms:modified>
  <cp:lastModifiedBy>오빠두엑셀</cp:lastModifiedBy>
</cp:coreProperties>
</file>